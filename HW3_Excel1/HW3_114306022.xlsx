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90EC62-2973-4416-8549-DA7CA7F5C6F8}" xr6:coauthVersionLast="47" xr6:coauthVersionMax="47" xr10:uidLastSave="{00000000-0000-0000-0000-000000000000}"/>
  <bookViews>
    <workbookView xWindow="-108" yWindow="-108" windowWidth="30936" windowHeight="16896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1" l="1"/>
  <c r="L17" i="1"/>
  <c r="J17" i="1"/>
  <c r="H17" i="1"/>
  <c r="D17" i="1"/>
  <c r="C17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2" i="1" a="1"/>
  <c r="L2" i="1"/>
  <c r="K2" i="1" a="1"/>
  <c r="K2" i="1" s="1"/>
  <c r="K3" i="1" a="1"/>
  <c r="K3" i="1" s="1"/>
  <c r="K4" i="1" a="1"/>
  <c r="K4" i="1"/>
  <c r="K5" i="1" a="1"/>
  <c r="K5" i="1"/>
  <c r="K6" i="1" a="1"/>
  <c r="K6" i="1" s="1"/>
  <c r="K7" i="1" a="1"/>
  <c r="K7" i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/>
  <c r="K15" i="1" a="1"/>
  <c r="K15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<sst xmlns="http://schemas.openxmlformats.org/spreadsheetml/2006/main" count="34" uniqueCount="34">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</sst>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bar graph of the students' overall scores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F-4405-B184-BEA151DB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460399"/>
        <c:axId val="578446479"/>
      </c:barChart>
      <c:catAx>
        <c:axId val="57846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8446479"/>
        <c:crosses val="autoZero"/>
        <c:auto val="1"/>
        <c:lblAlgn val="ctr"/>
        <c:lblOffset val="100"/>
        <c:noMultiLvlLbl val="0"/>
      </c:catAx>
      <c:valAx>
        <c:axId val="57844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846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circle chart based on the "pass" and "fail" grades of the students' overall 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工作表1!$K$17:$K$18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工作表1!$L$17:$L$18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4-4749-AB6C-D55FAD6F5C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</xdr:colOff>
      <xdr:row>24</xdr:row>
      <xdr:rowOff>0</xdr:rowOff>
    </xdr:from>
    <xdr:to>
      <xdr:col>12</xdr:col>
      <xdr:colOff>232410</xdr:colOff>
      <xdr:row>37</xdr:row>
      <xdr:rowOff>68580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D12FF13-2525-D06C-B6AA-AD1DDB11A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598170</xdr:colOff>
      <xdr:row>17</xdr:row>
      <xdr:rowOff>7620</xdr:rowOff>
    </xdr:from>
    <xdr:to>
      <xdr:col>20</xdr:col>
      <xdr:colOff>293370</xdr:colOff>
      <xdr:row>30</xdr:row>
      <xdr:rowOff>76200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581AF08-DB6C-2807-B5D7-04DC640B7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workbookViewId="0">
      <selection activeCell="U28" sqref="U28"/>
    </sheetView>
  </sheetViews>
  <sheetFormatPr defaultRowHeight="16.2"/>
  <cols>
    <col min="3" max="4" width="13" bestFit="1" customWidth="1"/>
    <col min="8" max="8" width="18.6640625" bestFit="1" customWidth="1"/>
    <col min="10" max="10" width="16.109375" bestFit="1" customWidth="1"/>
    <col min="11" max="11" width="24.2187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H2/2+I2/2</f>
        <v>91.7</v>
      </c>
      <c r="K2" t="str" cm="1">
        <f t="array" ref="K2">_xlfn.IFS(J2&gt;=90,"A",J2&gt;=80,"B",J2&gt;=70,"C",J2&gt;=60,"D",J2&lt;60,"F")</f>
        <v>A</v>
      </c>
      <c r="L2" t="str" cm="1">
        <f t="array" ref="L2">_xlfn.IFS(J2&gt;=60,"pass",J2&lt;60,"fail")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H3/2+I3/2</f>
        <v>90</v>
      </c>
      <c r="K3" t="str" cm="1">
        <f t="array" ref="K3">_xlfn.IFS(J3&gt;=90,"A",J3&gt;=80,"B",J3&gt;=70,"C",J3&gt;=60,"D",J3&lt;60,"F")</f>
        <v>A</v>
      </c>
      <c r="L3" t="str" cm="1">
        <f t="array" ref="L3">_xlfn.IFS(J3&gt;=60,"pass",J3&lt;60,"fail")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t="str" cm="1">
        <f t="array" ref="K4">_xlfn.IFS(J4&gt;=90,"A",J4&gt;=80,"B",J4&gt;=70,"C",J4&gt;=60,"D",J4&lt;60,"F")</f>
        <v>B</v>
      </c>
      <c r="L4" t="str" cm="1">
        <f t="array" ref="L4">_xlfn.IFS(J4&gt;=60,"pass",J4&lt;60,"fail")</f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</v>
      </c>
      <c r="K5" t="str" cm="1">
        <f t="array" ref="K5">_xlfn.IFS(J5&gt;=90,"A",J5&gt;=80,"B",J5&gt;=70,"C",J5&gt;=60,"D",J5&lt;60,"F")</f>
        <v>B</v>
      </c>
      <c r="L5" t="str" cm="1">
        <f t="array" ref="L5">_xlfn.IFS(J5&gt;=60,"pass",J5&lt;60,"fail")</f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t="str" cm="1">
        <f t="array" ref="K6">_xlfn.IFS(J6&gt;=90,"A",J6&gt;=80,"B",J6&gt;=70,"C",J6&gt;=60,"D",J6&lt;60,"F")</f>
        <v>B</v>
      </c>
      <c r="L6" t="str" cm="1">
        <f t="array" ref="L6">_xlfn.IFS(J6&gt;=60,"pass",J6&lt;60,"fail")</f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</v>
      </c>
      <c r="K7" t="str" cm="1">
        <f t="array" ref="K7">_xlfn.IFS(J7&gt;=90,"A",J7&gt;=80,"B",J7&gt;=70,"C",J7&gt;=60,"D",J7&lt;60,"F")</f>
        <v>B</v>
      </c>
      <c r="L7" t="str" cm="1">
        <f t="array" ref="L7">_xlfn.IFS(J7&gt;=60,"pass",J7&lt;60,"fail")</f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t="str" cm="1">
        <f t="array" ref="K8">_xlfn.IFS(J8&gt;=90,"A",J8&gt;=80,"B",J8&gt;=70,"C",J8&gt;=60,"D",J8&lt;60,"F")</f>
        <v>C</v>
      </c>
      <c r="L8" t="str" cm="1">
        <f t="array" ref="L8">_xlfn.IFS(J8&gt;=60,"pass",J8&lt;60,"fail")</f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t="str" cm="1">
        <f t="array" ref="K9">_xlfn.IFS(J9&gt;=90,"A",J9&gt;=80,"B",J9&gt;=70,"C",J9&gt;=60,"D",J9&lt;60,"F")</f>
        <v>C</v>
      </c>
      <c r="L9" t="str" cm="1">
        <f t="array" ref="L9">_xlfn.IFS(J9&gt;=60,"pass",J9&lt;60,"fail")</f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t="str" cm="1">
        <f t="array" ref="K10">_xlfn.IFS(J10&gt;=90,"A",J10&gt;=80,"B",J10&gt;=70,"C",J10&gt;=60,"D",J10&lt;60,"F")</f>
        <v>C</v>
      </c>
      <c r="L10" t="str" cm="1">
        <f t="array" ref="L10">_xlfn.IFS(J10&gt;=60,"pass",J10&lt;60,"fail")</f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t="str" cm="1">
        <f t="array" ref="K11">_xlfn.IFS(J11&gt;=90,"A",J11&gt;=80,"B",J11&gt;=70,"C",J11&gt;=60,"D",J11&lt;60,"F")</f>
        <v>C</v>
      </c>
      <c r="L11" t="str" cm="1">
        <f t="array" ref="L11">_xlfn.IFS(J11&gt;=60,"pass",J11&lt;60,"fail")</f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t="str" cm="1">
        <f t="array" ref="K12">_xlfn.IFS(J12&gt;=90,"A",J12&gt;=80,"B",J12&gt;=70,"C",J12&gt;=60,"D",J12&lt;60,"F")</f>
        <v>B</v>
      </c>
      <c r="L12" t="str" cm="1">
        <f t="array" ref="L12">_xlfn.IFS(J12&gt;=60,"pass",J12&lt;60,"fail")</f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t="str" cm="1">
        <f t="array" ref="K13">_xlfn.IFS(J13&gt;=90,"A",J13&gt;=80,"B",J13&gt;=70,"C",J13&gt;=60,"D",J13&lt;60,"F")</f>
        <v>F</v>
      </c>
      <c r="L13" t="str" cm="1">
        <f t="array" ref="L13">_xlfn.IFS(J13&gt;=60,"pass",J13&lt;60,"fail")</f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t="str" cm="1">
        <f t="array" ref="K14">_xlfn.IFS(J14&gt;=90,"A",J14&gt;=80,"B",J14&gt;=70,"C",J14&gt;=60,"D",J14&lt;60,"F")</f>
        <v>D</v>
      </c>
      <c r="L14" t="str" cm="1">
        <f t="array" ref="L14">_xlfn.IFS(J14&gt;=60,"pass",J14&lt;60,"fail")</f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t="str" cm="1">
        <f t="array" ref="K15">_xlfn.IFS(J15&gt;=90,"A",J15&gt;=80,"B",J15&gt;=70,"C",J15&gt;=60,"D",J15&lt;60,"F")</f>
        <v>F</v>
      </c>
      <c r="L15" t="str" cm="1">
        <f t="array" ref="L15">_xlfn.IFS(J15&gt;=60,"pass",J15&lt;60,"fail")</f>
        <v>fail</v>
      </c>
    </row>
    <row r="16" spans="1:12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2">
      <c r="C17">
        <f>MAX(C2:C15)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  <c r="K17" t="s">
        <v>32</v>
      </c>
      <c r="L17">
        <f>COUNTIF(L2:L15,"pass")</f>
        <v>12</v>
      </c>
    </row>
    <row r="18" spans="3:12">
      <c r="K18" t="s">
        <v>33</v>
      </c>
      <c r="L18">
        <f>COUNTIF(L2:L15,"fail")</f>
        <v>2</v>
      </c>
    </row>
    <row r="24" spans="3:12">
      <c r="J24" s="4" t="s">
        <v>30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cc yyy</cp:lastModifiedBy>
  <dcterms:created xsi:type="dcterms:W3CDTF">2023-10-19T05:27:10Z</dcterms:created>
  <dcterms:modified xsi:type="dcterms:W3CDTF">2025-10-09T13:32:52Z</dcterms:modified>
</cp:coreProperties>
</file>